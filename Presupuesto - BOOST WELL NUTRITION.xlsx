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codeName="ThisWorkbook"/>
  <xr:revisionPtr revIDLastSave="0" documentId="13_ncr:1_{6BAE2530-39C0-4E60-870D-10C1085D7852}" xr6:coauthVersionLast="47" xr6:coauthVersionMax="47" xr10:uidLastSave="{00000000-0000-0000-0000-000000000000}"/>
  <bookViews>
    <workbookView xWindow="-108" yWindow="-108" windowWidth="23256" windowHeight="13176" xr2:uid="{00000000-000D-0000-FFFF-FFFF00000000}"/>
  </bookViews>
  <sheets>
    <sheet name="PRESUPUESTO - PROYECTO" sheetId="1" r:id="rId1"/>
  </sheets>
  <definedNames>
    <definedName name="TasaDeImpuestos">'PRESUPUESTO - PROYECTO'!$C$8</definedName>
    <definedName name="TasaRetornoNecesaria">'PRESUPUESTO - PROYECTO'!$C$7</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8" i="1" l="1"/>
  <c r="C29" i="1"/>
  <c r="C16" i="1"/>
  <c r="C23" i="1"/>
  <c r="D23" i="1"/>
  <c r="E23" i="1"/>
  <c r="C37" i="1" l="1"/>
  <c r="D29" i="1"/>
  <c r="E36" i="1" s="1"/>
  <c r="C30" i="1"/>
  <c r="D33" i="1" s="1"/>
  <c r="C38" i="1"/>
  <c r="E29" i="1"/>
  <c r="D30" i="1" l="1"/>
  <c r="E33" i="1" s="1"/>
  <c r="E34" i="1" s="1"/>
  <c r="E35" i="1" s="1"/>
  <c r="E37" i="1" s="1"/>
  <c r="D36" i="1"/>
  <c r="E30" i="1"/>
  <c r="F33" i="1" s="1"/>
  <c r="F36" i="1" l="1"/>
  <c r="D34" i="1"/>
  <c r="D35" i="1" s="1"/>
  <c r="D37" i="1" s="1"/>
  <c r="E38" i="1" l="1"/>
  <c r="F34" i="1"/>
  <c r="F35" i="1" l="1"/>
  <c r="C42" i="1" l="1"/>
  <c r="F37" i="1"/>
  <c r="C41" i="1"/>
  <c r="F38" i="1"/>
  <c r="C43" i="1" l="1"/>
</calcChain>
</file>

<file path=xl/sharedStrings.xml><?xml version="1.0" encoding="utf-8"?>
<sst xmlns="http://schemas.openxmlformats.org/spreadsheetml/2006/main" count="49" uniqueCount="45">
  <si>
    <t>Tasa</t>
  </si>
  <si>
    <t>Tasa de retorno necesaria</t>
  </si>
  <si>
    <t>Inversión inicial en el sitio web</t>
  </si>
  <si>
    <t>Año</t>
  </si>
  <si>
    <t>Total de inversiones iniciales</t>
  </si>
  <si>
    <t>Beneficios del sitio web</t>
  </si>
  <si>
    <t>Año 1</t>
  </si>
  <si>
    <t>Año 2</t>
  </si>
  <si>
    <t>Año 3</t>
  </si>
  <si>
    <t>Beneficios totales</t>
  </si>
  <si>
    <t>AÑO 1</t>
  </si>
  <si>
    <t>AÑO 2</t>
  </si>
  <si>
    <t>AÑO 3</t>
  </si>
  <si>
    <t>Costes totales</t>
  </si>
  <si>
    <t>Totales</t>
  </si>
  <si>
    <t xml:space="preserve"> </t>
  </si>
  <si>
    <t>Amortización agregada</t>
  </si>
  <si>
    <t>Flujo de efectivo</t>
  </si>
  <si>
    <t>Flujo de efectivo acumulado</t>
  </si>
  <si>
    <t>Métricas de evaluación</t>
  </si>
  <si>
    <t>Valores</t>
  </si>
  <si>
    <t>Valor actual neto (VAN)</t>
  </si>
  <si>
    <t>Tasa interna de retorno (TIR)</t>
  </si>
  <si>
    <t>Período de amortización (en años)</t>
  </si>
  <si>
    <t>BOOST WELL NUTRITION</t>
  </si>
  <si>
    <t>Datos del Proyecto</t>
  </si>
  <si>
    <t>Tipo impositivo (IVA)</t>
  </si>
  <si>
    <t>Licencias de software</t>
  </si>
  <si>
    <t>Servicios en la nube</t>
  </si>
  <si>
    <t>Herramientas de desarrollo</t>
  </si>
  <si>
    <t>Documentación y edición</t>
  </si>
  <si>
    <t>Otros costos (capacitación, pruebas, imprevistos)</t>
  </si>
  <si>
    <t>Reducción de costos por uso de software libre</t>
  </si>
  <si>
    <t>Optimización de hosting y nube</t>
  </si>
  <si>
    <t>Productividad por frameworks gratuitos</t>
  </si>
  <si>
    <t>Valor agregado en documentación APA</t>
  </si>
  <si>
    <t>Mantenimiento del repositorio GitHub</t>
  </si>
  <si>
    <t>Actualización de librerías y frameworks</t>
  </si>
  <si>
    <t>Costos Operativos</t>
  </si>
  <si>
    <t>Publicidad mínima (Netlify, difusión académica)</t>
  </si>
  <si>
    <t>Depreciación de software/herramientas</t>
  </si>
  <si>
    <t>Beneficio neto antes de impuestos</t>
  </si>
  <si>
    <t>Impuesto (13%)</t>
  </si>
  <si>
    <t>Beneficio neto después de impuestos</t>
  </si>
  <si>
    <t>PLATAFORMA WEB PARA LA GESTIÓN Y VISUALIZACIÓN DE PRODUCTOS SALUDABLES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</si>
</sst>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 #,##0\ &quot;€&quot;_-;\-* #,##0\ &quot;€&quot;_-;_-* &quot;-&quot;\ &quot;€&quot;_-;_-@_-"/>
    <numFmt numFmtId="44" formatCode="_-* #,##0.00\ &quot;€&quot;_-;\-* #,##0.00\ &quot;€&quot;_-;_-* &quot;-&quot;??\ &quot;€&quot;_-;_-@_-"/>
    <numFmt numFmtId="164" formatCode="_(* #,##0_);_(* \(#,##0\);_(* &quot;-&quot;_);_(@_)"/>
    <numFmt numFmtId="165" formatCode="_(* #,##0.00_);_(* \(#,##0.00\);_(* &quot;-&quot;??_);_(@_)"/>
    <numFmt numFmtId="170" formatCode="_-[$$-440A]* #,##0.00_-;\-[$$-440A]* #,##0.00_-;_-[$$-440A]* &quot;-&quot;??_-;_-@_-"/>
  </numFmts>
  <fonts count="29" x14ac:knownFonts="1">
    <font>
      <sz val="11"/>
      <color theme="1"/>
      <name val="Calibri"/>
      <family val="2"/>
      <scheme val="minor"/>
    </font>
    <font>
      <sz val="18"/>
      <color theme="3"/>
      <name val="Tahoma"/>
      <family val="2"/>
      <scheme val="major"/>
    </font>
    <font>
      <sz val="11"/>
      <color theme="3"/>
      <name val="Tahoma"/>
      <family val="2"/>
      <scheme val="major"/>
    </font>
    <font>
      <sz val="16"/>
      <color theme="3"/>
      <name val="Tahoma"/>
      <family val="2"/>
      <scheme val="major"/>
    </font>
    <font>
      <b/>
      <sz val="11"/>
      <color theme="1" tint="0.14996795556505021"/>
      <name val="Tahoma"/>
      <family val="2"/>
      <scheme val="major"/>
    </font>
    <font>
      <b/>
      <sz val="11"/>
      <color theme="1"/>
      <name val="Calibri"/>
      <family val="2"/>
      <scheme val="minor"/>
    </font>
    <font>
      <sz val="11"/>
      <color theme="0"/>
      <name val="Calibri"/>
      <family val="2"/>
      <scheme val="minor"/>
    </font>
    <font>
      <sz val="8"/>
      <name val="Calibri"/>
      <family val="2"/>
      <scheme val="minor"/>
    </font>
    <font>
      <sz val="18"/>
      <color theme="1"/>
      <name val="Tahoma"/>
      <family val="2"/>
      <scheme val="major"/>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48"/>
      <color theme="0"/>
      <name val="Bodoni MT Condensed"/>
      <family val="1"/>
    </font>
    <font>
      <b/>
      <sz val="13"/>
      <color theme="0"/>
      <name val="Gill Sans MT"/>
      <family val="2"/>
    </font>
    <font>
      <b/>
      <sz val="13"/>
      <color theme="5" tint="-0.499984740745262"/>
      <name val="Gill Sans MT"/>
      <family val="2"/>
    </font>
    <font>
      <b/>
      <sz val="14"/>
      <color theme="0"/>
      <name val="Gill Sans MT"/>
      <family val="2"/>
    </font>
    <font>
      <b/>
      <sz val="11"/>
      <color theme="3"/>
      <name val="Gill Sans MT"/>
      <family val="2"/>
    </font>
    <font>
      <b/>
      <sz val="11"/>
      <color theme="1"/>
      <name val="Gill Sans MT"/>
      <family val="2"/>
    </font>
    <font>
      <b/>
      <sz val="13"/>
      <color theme="1"/>
      <name val="Gill Sans MT"/>
      <family val="2"/>
    </font>
    <font>
      <sz val="8"/>
      <color theme="3"/>
      <name val="Calibri"/>
      <family val="2"/>
      <scheme val="minor"/>
    </font>
    <font>
      <sz val="16"/>
      <color theme="0"/>
      <name val="Gill Sans MT Condensed"/>
      <family val="2"/>
    </font>
  </fonts>
  <fills count="36">
    <fill>
      <patternFill patternType="none"/>
    </fill>
    <fill>
      <patternFill patternType="gray125"/>
    </fill>
    <fill>
      <patternFill patternType="solid">
        <fgColor theme="0" tint="-0.249977111117893"/>
        <bgColor indexed="64"/>
      </patternFill>
    </fill>
    <fill>
      <patternFill patternType="solid">
        <fgColor theme="5"/>
        <bgColor indexed="64"/>
      </patternFill>
    </fill>
    <fill>
      <patternFill patternType="solid">
        <fgColor theme="5"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xf numFmtId="0" fontId="1" fillId="0" borderId="1" applyNumberFormat="0" applyFill="0" applyProtection="0">
      <alignment horizontal="left" vertical="center"/>
    </xf>
    <xf numFmtId="0" fontId="3" fillId="0" borderId="2" applyNumberFormat="0" applyFill="0" applyProtection="0">
      <alignment horizontal="left" vertical="center"/>
    </xf>
    <xf numFmtId="0" fontId="2" fillId="0" borderId="3" applyNumberFormat="0" applyFill="0" applyProtection="0">
      <alignment horizontal="left" vertical="center"/>
    </xf>
    <xf numFmtId="0" fontId="4" fillId="3" borderId="0" applyNumberFormat="0" applyBorder="0" applyProtection="0">
      <alignment horizontal="left" vertical="center"/>
    </xf>
    <xf numFmtId="165" fontId="9" fillId="0" borderId="0" applyFon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9" fontId="9" fillId="0" borderId="0" applyFont="0" applyFill="0" applyBorder="0" applyAlignment="0" applyProtection="0"/>
    <xf numFmtId="0" fontId="1"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4" applyNumberFormat="0" applyAlignment="0" applyProtection="0"/>
    <xf numFmtId="0" fontId="14" fillId="9" borderId="5" applyNumberFormat="0" applyAlignment="0" applyProtection="0"/>
    <xf numFmtId="0" fontId="15" fillId="9" borderId="4" applyNumberFormat="0" applyAlignment="0" applyProtection="0"/>
    <xf numFmtId="0" fontId="16" fillId="0" borderId="6" applyNumberFormat="0" applyFill="0" applyAlignment="0" applyProtection="0"/>
    <xf numFmtId="0" fontId="17" fillId="10" borderId="7" applyNumberFormat="0" applyAlignment="0" applyProtection="0"/>
    <xf numFmtId="0" fontId="18" fillId="0" borderId="0" applyNumberFormat="0" applyFill="0" applyBorder="0" applyAlignment="0" applyProtection="0"/>
    <xf numFmtId="0" fontId="9" fillId="11" borderId="8" applyNumberFormat="0" applyFont="0" applyAlignment="0" applyProtection="0"/>
    <xf numFmtId="0" fontId="19" fillId="0" borderId="0" applyNumberFormat="0" applyFill="0" applyBorder="0" applyAlignment="0" applyProtection="0"/>
    <xf numFmtId="0" fontId="5" fillId="0" borderId="9" applyNumberFormat="0" applyFill="0" applyAlignment="0" applyProtection="0"/>
    <xf numFmtId="0" fontId="6" fillId="12"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6"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6"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6"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6"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6" fillId="32"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cellStyleXfs>
  <cellXfs count="43">
    <xf numFmtId="0" fontId="0" fillId="0" borderId="0" xfId="0"/>
    <xf numFmtId="0" fontId="6" fillId="0" borderId="0" xfId="0" applyFont="1"/>
    <xf numFmtId="0" fontId="8" fillId="4" borderId="0" xfId="1" applyFont="1" applyFill="1" applyBorder="1" applyAlignment="1">
      <alignment horizontal="center" vertical="center"/>
    </xf>
    <xf numFmtId="0" fontId="6" fillId="4" borderId="0" xfId="0" applyFont="1" applyFill="1"/>
    <xf numFmtId="0" fontId="1" fillId="4" borderId="0" xfId="1" applyFill="1" applyBorder="1" applyAlignment="1">
      <alignment horizontal="center" vertical="center"/>
    </xf>
    <xf numFmtId="0" fontId="1" fillId="4" borderId="0" xfId="1" applyFill="1" applyBorder="1">
      <alignment horizontal="left" vertical="center"/>
    </xf>
    <xf numFmtId="0" fontId="20" fillId="4" borderId="0" xfId="1" applyFont="1" applyFill="1" applyBorder="1" applyAlignment="1">
      <alignment horizontal="left" indent="7"/>
    </xf>
    <xf numFmtId="0" fontId="21" fillId="4" borderId="0" xfId="4" applyFont="1" applyFill="1" applyBorder="1" applyAlignment="1">
      <alignment horizontal="left" vertical="center" indent="2"/>
    </xf>
    <xf numFmtId="0" fontId="21" fillId="4" borderId="0" xfId="4" applyFont="1" applyFill="1" applyBorder="1" applyAlignment="1">
      <alignment horizontal="right" vertical="center" indent="2"/>
    </xf>
    <xf numFmtId="0" fontId="21" fillId="4" borderId="0" xfId="0" applyFont="1" applyFill="1" applyAlignment="1">
      <alignment horizontal="left" vertical="center" indent="2"/>
    </xf>
    <xf numFmtId="0" fontId="21" fillId="4" borderId="0" xfId="0" applyFont="1" applyFill="1" applyAlignment="1">
      <alignment vertical="center"/>
    </xf>
    <xf numFmtId="0" fontId="21" fillId="4" borderId="0" xfId="0" applyFont="1" applyFill="1" applyAlignment="1">
      <alignment horizontal="right" vertical="center"/>
    </xf>
    <xf numFmtId="0" fontId="21" fillId="4" borderId="0" xfId="0" applyFont="1" applyFill="1" applyAlignment="1">
      <alignment horizontal="right" vertical="center" indent="2"/>
    </xf>
    <xf numFmtId="14" fontId="23" fillId="4" borderId="0" xfId="3" applyNumberFormat="1" applyFont="1" applyFill="1" applyBorder="1" applyAlignment="1">
      <alignment horizontal="left" vertical="center" indent="8"/>
    </xf>
    <xf numFmtId="0" fontId="24" fillId="4" borderId="0" xfId="3" applyFont="1" applyFill="1" applyBorder="1" applyAlignment="1">
      <alignment horizontal="center" vertical="center"/>
    </xf>
    <xf numFmtId="0" fontId="24" fillId="4" borderId="0" xfId="3" applyFont="1" applyFill="1" applyBorder="1">
      <alignment horizontal="left" vertical="center"/>
    </xf>
    <xf numFmtId="0" fontId="25" fillId="0" borderId="0" xfId="0" applyFont="1"/>
    <xf numFmtId="0" fontId="25" fillId="0" borderId="0" xfId="0" applyFont="1" applyAlignment="1">
      <alignment vertical="center"/>
    </xf>
    <xf numFmtId="0" fontId="25" fillId="0" borderId="0" xfId="0" applyFont="1" applyAlignment="1">
      <alignment horizontal="left" vertical="center" indent="2"/>
    </xf>
    <xf numFmtId="9" fontId="25" fillId="0" borderId="0" xfId="0" applyNumberFormat="1" applyFont="1" applyAlignment="1">
      <alignment horizontal="right" vertical="center" indent="2"/>
    </xf>
    <xf numFmtId="0" fontId="26" fillId="0" borderId="0" xfId="0" applyFont="1" applyAlignment="1">
      <alignment horizontal="left" vertical="center" indent="2"/>
    </xf>
    <xf numFmtId="0" fontId="26" fillId="0" borderId="0" xfId="0" applyFont="1" applyAlignment="1">
      <alignment horizontal="right" vertical="center" indent="2"/>
    </xf>
    <xf numFmtId="0" fontId="25" fillId="0" borderId="0" xfId="0" applyFont="1" applyAlignment="1">
      <alignment horizontal="left" vertical="center" wrapText="1" indent="2"/>
    </xf>
    <xf numFmtId="170" fontId="25" fillId="0" borderId="0" xfId="0" applyNumberFormat="1" applyFont="1" applyAlignment="1">
      <alignment horizontal="right" vertical="center" indent="2"/>
    </xf>
    <xf numFmtId="170" fontId="25" fillId="0" borderId="0" xfId="7" applyNumberFormat="1" applyFont="1" applyAlignment="1">
      <alignment horizontal="right" vertical="center" indent="2"/>
    </xf>
    <xf numFmtId="0" fontId="25" fillId="0" borderId="0" xfId="0" applyFont="1" applyAlignment="1">
      <alignment horizontal="center" vertical="center" wrapText="1"/>
    </xf>
    <xf numFmtId="0" fontId="26" fillId="4" borderId="0" xfId="0" applyFont="1" applyFill="1" applyAlignment="1">
      <alignment horizontal="left" vertical="center" indent="2"/>
    </xf>
    <xf numFmtId="0" fontId="26" fillId="4" borderId="0" xfId="0" applyFont="1" applyFill="1" applyAlignment="1">
      <alignment horizontal="right" vertical="center"/>
    </xf>
    <xf numFmtId="0" fontId="26" fillId="4" borderId="0" xfId="0" applyFont="1" applyFill="1" applyAlignment="1">
      <alignment horizontal="right" vertical="center" indent="2"/>
    </xf>
    <xf numFmtId="170" fontId="25" fillId="0" borderId="0" xfId="0" applyNumberFormat="1" applyFont="1" applyAlignment="1">
      <alignment vertical="center"/>
    </xf>
    <xf numFmtId="0" fontId="25" fillId="0" borderId="0" xfId="0" applyFont="1" applyAlignment="1">
      <alignment horizontal="center" vertical="center"/>
    </xf>
    <xf numFmtId="0" fontId="25" fillId="0" borderId="0" xfId="0" applyFont="1" applyAlignment="1">
      <alignment horizontal="right" vertical="center" indent="2"/>
    </xf>
    <xf numFmtId="170" fontId="25" fillId="2" borderId="0" xfId="0" applyNumberFormat="1" applyFont="1" applyFill="1" applyAlignment="1">
      <alignment vertical="center"/>
    </xf>
    <xf numFmtId="170" fontId="25" fillId="2" borderId="0" xfId="0" applyNumberFormat="1" applyFont="1" applyFill="1" applyAlignment="1">
      <alignment horizontal="right" vertical="center" indent="2"/>
    </xf>
    <xf numFmtId="170" fontId="25" fillId="0" borderId="0" xfId="0" applyNumberFormat="1" applyFont="1" applyAlignment="1">
      <alignment horizontal="left" vertical="center" wrapText="1" indent="2"/>
    </xf>
    <xf numFmtId="0" fontId="22" fillId="4" borderId="0" xfId="0" applyFont="1" applyFill="1" applyAlignment="1">
      <alignment horizontal="right" vertical="center"/>
    </xf>
    <xf numFmtId="170" fontId="25" fillId="0" borderId="0" xfId="0" applyNumberFormat="1" applyFont="1" applyAlignment="1">
      <alignment horizontal="right" vertical="center"/>
    </xf>
    <xf numFmtId="10" fontId="25" fillId="0" borderId="0" xfId="0" applyNumberFormat="1" applyFont="1" applyAlignment="1">
      <alignment horizontal="right" vertical="center"/>
    </xf>
    <xf numFmtId="2" fontId="25" fillId="0" borderId="0" xfId="0" applyNumberFormat="1" applyFont="1" applyAlignment="1">
      <alignment horizontal="right" vertical="center"/>
    </xf>
    <xf numFmtId="0" fontId="25" fillId="0" borderId="0" xfId="0" applyFont="1" applyAlignment="1">
      <alignment horizontal="left" vertical="center"/>
    </xf>
    <xf numFmtId="0" fontId="27" fillId="4" borderId="0" xfId="2" applyFont="1" applyFill="1" applyBorder="1" applyAlignment="1">
      <alignment horizontal="center" vertical="center"/>
    </xf>
    <xf numFmtId="0" fontId="27" fillId="4" borderId="0" xfId="2" applyFont="1" applyFill="1" applyBorder="1">
      <alignment horizontal="left" vertical="center"/>
    </xf>
    <xf numFmtId="0" fontId="28" fillId="4" borderId="0" xfId="2" applyFont="1" applyFill="1" applyBorder="1" applyAlignment="1">
      <alignment horizontal="left" vertical="top" wrapText="1" indent="8"/>
    </xf>
  </cellXfs>
  <cellStyles count="47">
    <cellStyle name="20% - Énfasis1" xfId="24" builtinId="30" customBuiltin="1"/>
    <cellStyle name="20% - Énfasis2" xfId="28" builtinId="34" customBuiltin="1"/>
    <cellStyle name="20% - Énfasis3" xfId="32" builtinId="38" customBuiltin="1"/>
    <cellStyle name="20% - Énfasis4" xfId="36" builtinId="42" customBuiltin="1"/>
    <cellStyle name="20% - Énfasis5" xfId="40" builtinId="46" customBuiltin="1"/>
    <cellStyle name="20% - Énfasis6" xfId="44" builtinId="50" customBuiltin="1"/>
    <cellStyle name="40% - Énfasis1" xfId="25" builtinId="31" customBuiltin="1"/>
    <cellStyle name="40% - Énfasis2" xfId="29" builtinId="35" customBuiltin="1"/>
    <cellStyle name="40% - Énfasis3" xfId="33" builtinId="39" customBuiltin="1"/>
    <cellStyle name="40% - Énfasis4" xfId="37" builtinId="43" customBuiltin="1"/>
    <cellStyle name="40% - Énfasis5" xfId="41" builtinId="47" customBuiltin="1"/>
    <cellStyle name="40% - Énfasis6" xfId="45" builtinId="51" customBuiltin="1"/>
    <cellStyle name="60% - Énfasis1" xfId="26" builtinId="32" customBuiltin="1"/>
    <cellStyle name="60% - Énfasis2" xfId="30" builtinId="36" customBuiltin="1"/>
    <cellStyle name="60% - Énfasis3" xfId="34" builtinId="40" customBuiltin="1"/>
    <cellStyle name="60% - Énfasis4" xfId="38" builtinId="44" customBuiltin="1"/>
    <cellStyle name="60% - Énfasis5" xfId="42" builtinId="48" customBuiltin="1"/>
    <cellStyle name="60% - Énfasis6" xfId="46" builtinId="52" customBuiltin="1"/>
    <cellStyle name="Bueno" xfId="11" builtinId="26" customBuiltin="1"/>
    <cellStyle name="Cálculo" xfId="16" builtinId="22" customBuiltin="1"/>
    <cellStyle name="Celda de comprobación" xfId="18" builtinId="23" customBuiltin="1"/>
    <cellStyle name="Celda vinculada" xfId="17" builtinId="24" customBuiltin="1"/>
    <cellStyle name="Encabezado 1" xfId="1" builtinId="16" customBuiltin="1"/>
    <cellStyle name="Encabezado 4" xfId="4" builtinId="19" customBuiltin="1"/>
    <cellStyle name="Énfasis1" xfId="23" builtinId="29" customBuiltin="1"/>
    <cellStyle name="Énfasis2" xfId="27" builtinId="33" customBuiltin="1"/>
    <cellStyle name="Énfasis3" xfId="31" builtinId="37" customBuiltin="1"/>
    <cellStyle name="Énfasis4" xfId="35" builtinId="41" customBuiltin="1"/>
    <cellStyle name="Énfasis5" xfId="39" builtinId="45" customBuiltin="1"/>
    <cellStyle name="Énfasis6" xfId="43" builtinId="49" customBuiltin="1"/>
    <cellStyle name="Entrada" xfId="14" builtinId="20" customBuiltin="1"/>
    <cellStyle name="Incorrecto" xfId="12" builtinId="27" customBuiltin="1"/>
    <cellStyle name="Millares" xfId="5" builtinId="3" customBuiltin="1"/>
    <cellStyle name="Millares [0]" xfId="6" builtinId="6" customBuiltin="1"/>
    <cellStyle name="Moneda" xfId="7" builtinId="4" customBuiltin="1"/>
    <cellStyle name="Moneda [0]" xfId="8" builtinId="7" customBuiltin="1"/>
    <cellStyle name="Neutral" xfId="13" builtinId="28" customBuiltin="1"/>
    <cellStyle name="Normal" xfId="0" builtinId="0" customBuiltin="1"/>
    <cellStyle name="Notas" xfId="20" builtinId="10" customBuiltin="1"/>
    <cellStyle name="Porcentaje" xfId="9" builtinId="5" customBuiltin="1"/>
    <cellStyle name="Salida" xfId="15" builtinId="21" customBuiltin="1"/>
    <cellStyle name="Texto de advertencia" xfId="19" builtinId="11" customBuiltin="1"/>
    <cellStyle name="Texto explicativo" xfId="21" builtinId="53" customBuiltin="1"/>
    <cellStyle name="Título" xfId="10" builtinId="15" customBuiltin="1"/>
    <cellStyle name="Título 2" xfId="2" builtinId="17" customBuiltin="1"/>
    <cellStyle name="Título 3" xfId="3" builtinId="18" customBuiltin="1"/>
    <cellStyle name="Total" xfId="22" builtinId="25" customBuiltin="1"/>
  </cellStyles>
  <dxfs count="59">
    <dxf>
      <font>
        <b/>
        <i val="0"/>
        <strike val="0"/>
        <condense val="0"/>
        <extend val="0"/>
        <outline val="0"/>
        <shadow val="0"/>
        <u val="none"/>
        <vertAlign val="baseline"/>
        <sz val="11"/>
        <color theme="1"/>
        <name val="Gill Sans MT"/>
        <family val="2"/>
        <scheme val="none"/>
      </font>
      <numFmt numFmtId="170" formatCode="_-[$$-440A]* #,##0.00_-;\-[$$-440A]* #,##0.00_-;_-[$$-440A]* &quot;-&quot;??_-;_-@_-"/>
      <alignment horizontal="right" vertical="center" textRotation="0" wrapText="0" indent="2" justifyLastLine="0" shrinkToFit="0" readingOrder="0"/>
    </dxf>
    <dxf>
      <font>
        <b/>
        <i val="0"/>
        <strike val="0"/>
        <condense val="0"/>
        <extend val="0"/>
        <outline val="0"/>
        <shadow val="0"/>
        <u val="none"/>
        <vertAlign val="baseline"/>
        <sz val="11"/>
        <color theme="1"/>
        <name val="Gill Sans MT"/>
        <family val="2"/>
        <scheme val="none"/>
      </font>
      <numFmt numFmtId="170" formatCode="_-[$$-440A]* #,##0.00_-;\-[$$-440A]* #,##0.00_-;_-[$$-440A]* &quot;-&quot;??_-;_-@_-"/>
      <alignment horizontal="general" vertical="center" textRotation="0" wrapText="0" indent="0" justifyLastLine="0" shrinkToFit="0" readingOrder="0"/>
    </dxf>
    <dxf>
      <font>
        <b/>
        <i val="0"/>
        <strike val="0"/>
        <condense val="0"/>
        <extend val="0"/>
        <outline val="0"/>
        <shadow val="0"/>
        <u val="none"/>
        <vertAlign val="baseline"/>
        <sz val="11"/>
        <color theme="1"/>
        <name val="Gill Sans MT"/>
        <family val="2"/>
        <scheme val="none"/>
      </font>
      <numFmt numFmtId="170" formatCode="_-[$$-440A]* #,##0.00_-;\-[$$-440A]* #,##0.00_-;_-[$$-440A]* &quot;-&quot;??_-;_-@_-"/>
      <alignment horizontal="general" vertical="center"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left" vertical="center" textRotation="0" wrapText="0" indent="2" justifyLastLine="0" shrinkToFit="0" readingOrder="0"/>
    </dxf>
    <dxf>
      <font>
        <b/>
        <strike val="0"/>
        <outline val="0"/>
        <shadow val="0"/>
        <u val="none"/>
        <vertAlign val="baseline"/>
        <sz val="11"/>
        <color theme="1"/>
        <name val="Gill Sans MT"/>
        <family val="2"/>
        <scheme val="none"/>
      </font>
      <alignment vertical="center" textRotation="0" wrapText="0" indent="0" justifyLastLine="0" shrinkToFit="0" readingOrder="0"/>
    </dxf>
    <dxf>
      <font>
        <b/>
        <strike val="0"/>
        <outline val="0"/>
        <shadow val="0"/>
        <u val="none"/>
        <vertAlign val="baseline"/>
        <name val="Gill Sans MT"/>
        <family val="2"/>
        <scheme val="none"/>
      </font>
    </dxf>
    <dxf>
      <font>
        <b/>
        <strike val="0"/>
        <outline val="0"/>
        <shadow val="0"/>
        <u val="none"/>
        <vertAlign val="baseline"/>
        <sz val="13"/>
        <color theme="0"/>
        <name val="Gill Sans MT"/>
        <family val="2"/>
        <scheme val="none"/>
      </font>
      <fill>
        <patternFill patternType="solid">
          <fgColor indexed="64"/>
          <bgColor theme="5" tint="-0.499984740745262"/>
        </patternFill>
      </fill>
      <alignment horizontal="left" vertical="center" textRotation="0" wrapText="0" indent="0" justifyLastLine="0" shrinkToFit="0" readingOrder="0"/>
    </dxf>
    <dxf>
      <font>
        <b/>
        <strike val="0"/>
        <outline val="0"/>
        <shadow val="0"/>
        <u val="none"/>
        <vertAlign val="baseline"/>
        <sz val="11"/>
        <color theme="1"/>
        <name val="Gill Sans MT"/>
        <family val="2"/>
        <scheme val="none"/>
      </font>
      <alignment horizontal="right" vertical="center" textRotation="0" wrapText="0" indent="2" justifyLastLine="0" shrinkToFit="0" readingOrder="0"/>
    </dxf>
    <dxf>
      <font>
        <b/>
        <strike val="0"/>
        <outline val="0"/>
        <shadow val="0"/>
        <u val="none"/>
        <vertAlign val="baseline"/>
        <sz val="11"/>
        <color theme="1"/>
        <name val="Gill Sans MT"/>
        <family val="2"/>
        <scheme val="none"/>
      </font>
      <alignment horizontal="left" vertical="center" textRotation="0" wrapText="0" indent="2" justifyLastLine="0" shrinkToFit="0" readingOrder="0"/>
    </dxf>
    <dxf>
      <font>
        <b/>
        <strike val="0"/>
        <outline val="0"/>
        <shadow val="0"/>
        <u val="none"/>
        <vertAlign val="baseline"/>
        <name val="Gill Sans MT"/>
        <family val="2"/>
        <scheme val="none"/>
      </font>
      <alignment horizontal="general" vertical="center" textRotation="0" indent="0" justifyLastLine="0" shrinkToFit="0" readingOrder="0"/>
    </dxf>
    <dxf>
      <font>
        <b/>
        <strike val="0"/>
        <outline val="0"/>
        <shadow val="0"/>
        <u val="none"/>
        <vertAlign val="baseline"/>
        <name val="Gill Sans MT"/>
        <family val="2"/>
        <scheme val="none"/>
      </font>
    </dxf>
    <dxf>
      <font>
        <b/>
        <strike val="0"/>
        <outline val="0"/>
        <shadow val="0"/>
        <u val="none"/>
        <vertAlign val="baseline"/>
        <sz val="13"/>
        <name val="Gill Sans MT"/>
        <family val="2"/>
        <scheme val="none"/>
      </font>
      <fill>
        <patternFill patternType="solid">
          <fgColor indexed="64"/>
          <bgColor theme="5" tint="-0.499984740745262"/>
        </patternFill>
      </fill>
      <alignment horizontal="general" vertical="center" textRotation="0" indent="0" justifyLastLine="0" shrinkToFit="0" readingOrder="0"/>
    </dxf>
    <dxf>
      <font>
        <b/>
        <strike val="0"/>
        <outline val="0"/>
        <shadow val="0"/>
        <u val="none"/>
        <vertAlign val="baseline"/>
        <name val="Gill Sans MT"/>
        <family val="2"/>
        <scheme val="none"/>
      </font>
      <alignment horizontal="right" vertical="center" textRotation="0" wrapText="0" indent="0" justifyLastLine="0" shrinkToFit="0" readingOrder="0"/>
    </dxf>
    <dxf>
      <font>
        <b/>
        <strike val="0"/>
        <outline val="0"/>
        <shadow val="0"/>
        <u val="none"/>
        <vertAlign val="baseline"/>
        <name val="Gill Sans MT"/>
        <family val="2"/>
        <scheme val="none"/>
      </font>
      <alignment horizontal="left" vertical="center" textRotation="0" wrapText="1" indent="2" justifyLastLine="0" shrinkToFit="0" readingOrder="0"/>
    </dxf>
    <dxf>
      <font>
        <b/>
        <strike val="0"/>
        <outline val="0"/>
        <shadow val="0"/>
        <u val="none"/>
        <vertAlign val="baseline"/>
        <name val="Gill Sans MT"/>
        <family val="2"/>
        <scheme val="none"/>
      </font>
      <numFmt numFmtId="170" formatCode="_-[$$-440A]* #,##0.00_-;\-[$$-440A]* #,##0.00_-;_-[$$-440A]* &quot;-&quot;??_-;_-@_-"/>
      <alignment horizontal="general" vertical="center" textRotation="0" indent="0" justifyLastLine="0" shrinkToFit="0" readingOrder="0"/>
    </dxf>
    <dxf>
      <font>
        <b/>
        <strike val="0"/>
        <outline val="0"/>
        <shadow val="0"/>
        <u val="none"/>
        <vertAlign val="baseline"/>
        <name val="Gill Sans MT"/>
        <family val="2"/>
        <scheme val="none"/>
      </font>
    </dxf>
    <dxf>
      <font>
        <b/>
        <strike val="0"/>
        <outline val="0"/>
        <shadow val="0"/>
        <u val="none"/>
        <vertAlign val="baseline"/>
        <sz val="13"/>
        <color theme="0"/>
        <name val="Gill Sans MT"/>
        <family val="2"/>
        <scheme val="none"/>
      </font>
      <fill>
        <patternFill patternType="solid">
          <fgColor indexed="64"/>
          <bgColor theme="5" tint="-0.499984740745262"/>
        </patternFill>
      </fill>
      <alignment horizontal="general" vertical="center" textRotation="0" indent="0" justifyLastLine="0" shrinkToFit="0" readingOrder="0"/>
    </dxf>
    <dxf>
      <font>
        <b/>
        <strike val="0"/>
        <outline val="0"/>
        <shadow val="0"/>
        <u val="none"/>
        <vertAlign val="baseline"/>
        <name val="Gill Sans MT"/>
        <family val="2"/>
        <scheme val="none"/>
      </font>
      <numFmt numFmtId="170" formatCode="_-[$$-440A]* #,##0.00_-;\-[$$-440A]* #,##0.00_-;_-[$$-440A]* &quot;-&quot;??_-;_-@_-"/>
      <alignment horizontal="right" vertical="center" textRotation="0" wrapText="0" indent="2" justifyLastLine="0" shrinkToFit="0" readingOrder="0"/>
    </dxf>
    <dxf>
      <font>
        <b/>
        <strike val="0"/>
        <outline val="0"/>
        <shadow val="0"/>
        <u val="none"/>
        <vertAlign val="baseline"/>
        <name val="Gill Sans MT"/>
        <family val="2"/>
        <scheme val="none"/>
      </font>
      <numFmt numFmtId="170" formatCode="_-[$$-440A]* #,##0.00_-;\-[$$-440A]* #,##0.00_-;_-[$$-440A]* &quot;-&quot;??_-;_-@_-"/>
      <alignment horizontal="general" vertical="center" textRotation="0" indent="0" justifyLastLine="0" shrinkToFit="0" readingOrder="0"/>
    </dxf>
    <dxf>
      <font>
        <b/>
        <strike val="0"/>
        <outline val="0"/>
        <shadow val="0"/>
        <u val="none"/>
        <vertAlign val="baseline"/>
        <name val="Gill Sans MT"/>
        <family val="2"/>
        <scheme val="none"/>
      </font>
      <numFmt numFmtId="170" formatCode="_-[$$-440A]* #,##0.00_-;\-[$$-440A]* #,##0.00_-;_-[$$-440A]* &quot;-&quot;??_-;_-@_-"/>
      <alignment horizontal="general" vertical="center" textRotation="0" indent="0" justifyLastLine="0" shrinkToFit="0" readingOrder="0"/>
    </dxf>
    <dxf>
      <font>
        <b/>
        <strike val="0"/>
        <outline val="0"/>
        <shadow val="0"/>
        <u val="none"/>
        <vertAlign val="baseline"/>
        <name val="Gill Sans MT"/>
        <family val="2"/>
        <scheme val="none"/>
      </font>
      <numFmt numFmtId="170" formatCode="_-[$$-440A]* #,##0.00_-;\-[$$-440A]* #,##0.00_-;_-[$$-440A]* &quot;-&quot;??_-;_-@_-"/>
      <alignment horizontal="general" vertical="center" textRotation="0" indent="0" justifyLastLine="0" shrinkToFit="0" readingOrder="0"/>
    </dxf>
    <dxf>
      <font>
        <b/>
        <strike val="0"/>
        <outline val="0"/>
        <shadow val="0"/>
        <u val="none"/>
        <vertAlign val="baseline"/>
        <name val="Gill Sans MT"/>
        <family val="2"/>
        <scheme val="none"/>
      </font>
      <numFmt numFmtId="170" formatCode="_-[$$-440A]* #,##0.00_-;\-[$$-440A]* #,##0.00_-;_-[$$-440A]* &quot;-&quot;??_-;_-@_-"/>
      <alignment horizontal="left" vertical="center" textRotation="0" wrapText="1" indent="2" justifyLastLine="0" shrinkToFit="0" readingOrder="0"/>
    </dxf>
    <dxf>
      <font>
        <b/>
        <strike val="0"/>
        <outline val="0"/>
        <shadow val="0"/>
        <u val="none"/>
        <vertAlign val="baseline"/>
        <name val="Gill Sans MT"/>
        <family val="2"/>
        <scheme val="none"/>
      </font>
      <alignment horizontal="general" vertical="center" textRotation="0" indent="0" justifyLastLine="0" shrinkToFit="0" readingOrder="0"/>
    </dxf>
    <dxf>
      <font>
        <b/>
        <strike val="0"/>
        <outline val="0"/>
        <shadow val="0"/>
        <u val="none"/>
        <vertAlign val="baseline"/>
        <name val="Gill Sans MT"/>
        <family val="2"/>
        <scheme val="none"/>
      </font>
      <alignment horizontal="general" vertical="center" textRotation="0" indent="0" justifyLastLine="0" shrinkToFit="0" readingOrder="0"/>
    </dxf>
    <dxf>
      <font>
        <b/>
        <strike val="0"/>
        <outline val="0"/>
        <shadow val="0"/>
        <u val="none"/>
        <vertAlign val="baseline"/>
        <sz val="13"/>
        <color theme="1"/>
        <name val="Gill Sans MT"/>
        <family val="2"/>
        <scheme val="none"/>
      </font>
      <fill>
        <patternFill patternType="solid">
          <fgColor indexed="64"/>
          <bgColor theme="5" tint="-0.499984740745262"/>
        </patternFill>
      </fill>
      <alignment horizontal="general" vertical="center" textRotation="0" indent="0" justifyLastLine="0" shrinkToFit="0" readingOrder="0"/>
    </dxf>
    <dxf>
      <font>
        <b/>
        <strike val="0"/>
        <outline val="0"/>
        <shadow val="0"/>
        <u val="none"/>
        <vertAlign val="baseline"/>
        <name val="Gill Sans MT"/>
        <family val="2"/>
        <scheme val="none"/>
      </font>
      <numFmt numFmtId="170" formatCode="_-[$$-440A]* #,##0.00_-;\-[$$-440A]* #,##0.00_-;_-[$$-440A]* &quot;-&quot;??_-;_-@_-"/>
      <alignment horizontal="right" vertical="center" textRotation="0" wrapText="0" indent="2" justifyLastLine="0" shrinkToFit="0" readingOrder="0"/>
    </dxf>
    <dxf>
      <font>
        <b/>
        <strike val="0"/>
        <outline val="0"/>
        <shadow val="0"/>
        <u val="none"/>
        <vertAlign val="baseline"/>
        <name val="Gill Sans MT"/>
        <family val="2"/>
        <scheme val="none"/>
      </font>
      <numFmt numFmtId="170" formatCode="_-[$$-440A]* #,##0.00_-;\-[$$-440A]* #,##0.00_-;_-[$$-440A]* &quot;-&quot;??_-;_-@_-"/>
      <alignment horizontal="general" vertical="center" textRotation="0" indent="0" justifyLastLine="0" shrinkToFit="0" readingOrder="0"/>
    </dxf>
    <dxf>
      <font>
        <b/>
        <strike val="0"/>
        <outline val="0"/>
        <shadow val="0"/>
        <u val="none"/>
        <vertAlign val="baseline"/>
        <name val="Gill Sans MT"/>
        <family val="2"/>
        <scheme val="none"/>
      </font>
      <numFmt numFmtId="170" formatCode="_-[$$-440A]* #,##0.00_-;\-[$$-440A]* #,##0.00_-;_-[$$-440A]* &quot;-&quot;??_-;_-@_-"/>
      <alignment horizontal="general" vertical="center" textRotation="0" indent="0" justifyLastLine="0" shrinkToFit="0" readingOrder="0"/>
    </dxf>
    <dxf>
      <font>
        <b/>
        <strike val="0"/>
        <outline val="0"/>
        <shadow val="0"/>
        <u val="none"/>
        <vertAlign val="baseline"/>
        <name val="Gill Sans MT"/>
        <family val="2"/>
        <scheme val="none"/>
      </font>
      <alignment horizontal="left" vertical="center" textRotation="0" wrapText="1" indent="2" justifyLastLine="0" shrinkToFit="0" readingOrder="0"/>
    </dxf>
    <dxf>
      <font>
        <b/>
        <strike val="0"/>
        <outline val="0"/>
        <shadow val="0"/>
        <u val="none"/>
        <vertAlign val="baseline"/>
        <name val="Gill Sans MT"/>
        <family val="2"/>
        <scheme val="none"/>
      </font>
      <alignment horizontal="general" vertical="center" textRotation="0" indent="0" justifyLastLine="0" shrinkToFit="0" readingOrder="0"/>
    </dxf>
    <dxf>
      <font>
        <b/>
        <strike val="0"/>
        <outline val="0"/>
        <shadow val="0"/>
        <u val="none"/>
        <vertAlign val="baseline"/>
        <name val="Gill Sans MT"/>
        <family val="2"/>
        <scheme val="none"/>
      </font>
      <alignment horizontal="general" vertical="center" textRotation="0" indent="0" justifyLastLine="0" shrinkToFit="0" readingOrder="0"/>
    </dxf>
    <dxf>
      <font>
        <b/>
        <strike val="0"/>
        <outline val="0"/>
        <shadow val="0"/>
        <u val="none"/>
        <vertAlign val="baseline"/>
        <sz val="13"/>
        <color theme="1"/>
        <name val="Gill Sans MT"/>
        <family val="2"/>
        <scheme val="none"/>
      </font>
      <fill>
        <patternFill patternType="solid">
          <fgColor indexed="64"/>
          <bgColor theme="5" tint="-0.499984740745262"/>
        </patternFill>
      </fill>
      <alignment horizontal="general" vertical="center" textRotation="0" indent="0" justifyLastLine="0" shrinkToFit="0" readingOrder="0"/>
    </dxf>
    <dxf>
      <font>
        <b/>
        <strike val="0"/>
        <outline val="0"/>
        <shadow val="0"/>
        <u val="none"/>
        <vertAlign val="baseline"/>
        <name val="Gill Sans MT"/>
        <family val="2"/>
        <scheme val="none"/>
      </font>
      <numFmt numFmtId="170" formatCode="_-[$$-440A]* #,##0.00_-;\-[$$-440A]* #,##0.00_-;_-[$$-440A]* &quot;-&quot;??_-;_-@_-"/>
      <alignment horizontal="right" vertical="center" textRotation="0" wrapText="0" indent="2" justifyLastLine="0" shrinkToFit="0" readingOrder="0"/>
    </dxf>
    <dxf>
      <font>
        <b/>
        <strike val="0"/>
        <outline val="0"/>
        <shadow val="0"/>
        <u val="none"/>
        <vertAlign val="baseline"/>
        <name val="Gill Sans MT"/>
        <family val="2"/>
        <scheme val="none"/>
      </font>
      <numFmt numFmtId="170" formatCode="_-[$$-440A]* #,##0.00_-;\-[$$-440A]* #,##0.00_-;_-[$$-440A]* &quot;-&quot;??_-;_-@_-"/>
      <alignment horizontal="right" vertical="center" textRotation="0" wrapText="0" indent="2" justifyLastLine="0" shrinkToFit="0" readingOrder="0"/>
    </dxf>
    <dxf>
      <font>
        <b/>
        <strike val="0"/>
        <outline val="0"/>
        <shadow val="0"/>
        <u val="none"/>
        <vertAlign val="baseline"/>
        <name val="Gill Sans MT"/>
        <family val="2"/>
        <scheme val="none"/>
      </font>
      <numFmt numFmtId="170" formatCode="_-[$$-440A]* #,##0.00_-;\-[$$-440A]* #,##0.00_-;_-[$$-440A]* &quot;-&quot;??_-;_-@_-"/>
      <alignment horizontal="general" vertical="center" textRotation="0" wrapText="0" indent="0" justifyLastLine="0" shrinkToFit="0" readingOrder="0"/>
    </dxf>
    <dxf>
      <font>
        <b/>
        <strike val="0"/>
        <outline val="0"/>
        <shadow val="0"/>
        <u val="none"/>
        <vertAlign val="baseline"/>
        <name val="Gill Sans MT"/>
        <family val="2"/>
        <scheme val="none"/>
      </font>
      <numFmt numFmtId="170" formatCode="_-[$$-440A]* #,##0.00_-;\-[$$-440A]* #,##0.00_-;_-[$$-440A]* &quot;-&quot;??_-;_-@_-"/>
      <alignment horizontal="general" vertical="center" textRotation="0" indent="0" justifyLastLine="0" shrinkToFit="0" readingOrder="0"/>
    </dxf>
    <dxf>
      <font>
        <b/>
        <strike val="0"/>
        <outline val="0"/>
        <shadow val="0"/>
        <u val="none"/>
        <vertAlign val="baseline"/>
        <name val="Gill Sans MT"/>
        <family val="2"/>
        <scheme val="none"/>
      </font>
      <numFmt numFmtId="170" formatCode="_-[$$-440A]* #,##0.00_-;\-[$$-440A]* #,##0.00_-;_-[$$-440A]* &quot;-&quot;??_-;_-@_-"/>
      <alignment horizontal="general" vertical="center" textRotation="0" wrapText="0" indent="0" justifyLastLine="0" shrinkToFit="0" readingOrder="0"/>
    </dxf>
    <dxf>
      <font>
        <b/>
        <strike val="0"/>
        <outline val="0"/>
        <shadow val="0"/>
        <u val="none"/>
        <vertAlign val="baseline"/>
        <name val="Gill Sans MT"/>
        <family val="2"/>
        <scheme val="none"/>
      </font>
      <numFmt numFmtId="170" formatCode="_-[$$-440A]* #,##0.00_-;\-[$$-440A]* #,##0.00_-;_-[$$-440A]* &quot;-&quot;??_-;_-@_-"/>
      <alignment horizontal="general" vertical="center" textRotation="0" indent="0" justifyLastLine="0" shrinkToFit="0" readingOrder="0"/>
    </dxf>
    <dxf>
      <font>
        <b/>
        <strike val="0"/>
        <outline val="0"/>
        <shadow val="0"/>
        <u val="none"/>
        <vertAlign val="baseline"/>
        <name val="Gill Sans MT"/>
        <family val="2"/>
        <scheme val="none"/>
      </font>
      <alignment horizontal="left" vertical="center" textRotation="0" wrapText="0" indent="2" justifyLastLine="0" shrinkToFit="0" readingOrder="0"/>
    </dxf>
    <dxf>
      <font>
        <b/>
        <strike val="0"/>
        <outline val="0"/>
        <shadow val="0"/>
        <u val="none"/>
        <vertAlign val="baseline"/>
        <name val="Gill Sans MT"/>
        <family val="2"/>
        <scheme val="none"/>
      </font>
      <alignment horizontal="left" vertical="center" textRotation="0" wrapText="1" indent="2" justifyLastLine="0" shrinkToFit="0" readingOrder="0"/>
    </dxf>
    <dxf>
      <font>
        <b/>
        <strike val="0"/>
        <outline val="0"/>
        <shadow val="0"/>
        <u val="none"/>
        <vertAlign val="baseline"/>
        <name val="Gill Sans MT"/>
        <family val="2"/>
        <scheme val="none"/>
      </font>
      <alignment horizontal="general" vertical="center" textRotation="0" indent="0" justifyLastLine="0" shrinkToFit="0" readingOrder="0"/>
    </dxf>
    <dxf>
      <font>
        <b/>
        <strike val="0"/>
        <outline val="0"/>
        <shadow val="0"/>
        <u val="none"/>
        <vertAlign val="baseline"/>
        <name val="Gill Sans MT"/>
        <family val="2"/>
        <scheme val="none"/>
      </font>
      <alignment horizontal="general" vertical="center" textRotation="0" indent="0" justifyLastLine="0" shrinkToFit="0" readingOrder="0"/>
    </dxf>
    <dxf>
      <font>
        <b/>
        <strike val="0"/>
        <outline val="0"/>
        <shadow val="0"/>
        <u val="none"/>
        <vertAlign val="baseline"/>
        <sz val="13"/>
        <color theme="1"/>
        <name val="Gill Sans MT"/>
        <family val="2"/>
        <scheme val="none"/>
      </font>
      <alignment horizontal="general" vertical="center" textRotation="0" wrapText="0" indent="0" justifyLastLine="0" shrinkToFit="0" readingOrder="0"/>
    </dxf>
    <dxf>
      <font>
        <b/>
        <strike val="0"/>
        <outline val="0"/>
        <shadow val="0"/>
        <u val="none"/>
        <vertAlign val="baseline"/>
        <name val="Gill Sans MT"/>
        <family val="2"/>
        <scheme val="none"/>
      </font>
      <numFmt numFmtId="170" formatCode="_-[$$-440A]* #,##0.00_-;\-[$$-440A]* #,##0.00_-;_-[$$-440A]* &quot;-&quot;??_-;_-@_-"/>
      <alignment horizontal="right" vertical="center" textRotation="0" wrapText="0" indent="2" justifyLastLine="0" shrinkToFit="0" readingOrder="0"/>
    </dxf>
    <dxf>
      <font>
        <b/>
        <strike val="0"/>
        <outline val="0"/>
        <shadow val="0"/>
        <u val="none"/>
        <vertAlign val="baseline"/>
        <name val="Gill Sans MT"/>
        <family val="2"/>
        <scheme val="none"/>
      </font>
      <numFmt numFmtId="12" formatCode="#,##0.00\ &quot;€&quot;;[Red]\-#,##0.00\ &quot;€&quot;"/>
      <alignment horizontal="right" vertical="center" textRotation="0" wrapText="0" indent="2" justifyLastLine="0" shrinkToFit="0" readingOrder="0"/>
    </dxf>
    <dxf>
      <font>
        <b/>
        <strike val="0"/>
        <outline val="0"/>
        <shadow val="0"/>
        <u val="none"/>
        <vertAlign val="baseline"/>
        <name val="Gill Sans MT"/>
        <family val="2"/>
        <scheme val="none"/>
      </font>
      <alignment horizontal="left" vertical="center" textRotation="0" wrapText="0" indent="2" justifyLastLine="0" shrinkToFit="0" readingOrder="0"/>
    </dxf>
    <dxf>
      <font>
        <b/>
        <strike val="0"/>
        <outline val="0"/>
        <shadow val="0"/>
        <u val="none"/>
        <vertAlign val="baseline"/>
        <name val="Gill Sans MT"/>
        <family val="2"/>
        <scheme val="none"/>
      </font>
      <alignment horizontal="left" vertical="center" textRotation="0" indent="2" justifyLastLine="0" shrinkToFit="0" readingOrder="0"/>
    </dxf>
    <dxf>
      <font>
        <b val="0"/>
        <i val="0"/>
        <strike val="0"/>
        <condense val="0"/>
        <extend val="0"/>
        <outline val="0"/>
        <shadow val="0"/>
        <u val="none"/>
        <vertAlign val="baseline"/>
        <sz val="11"/>
        <color theme="1"/>
        <name val="Calibri"/>
        <family val="2"/>
        <scheme val="minor"/>
      </font>
      <numFmt numFmtId="13" formatCode="0%"/>
      <alignment horizontal="right" vertical="center" textRotation="0" wrapText="0" indent="2"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2" justifyLastLine="0" shrinkToFit="0" readingOrder="0"/>
    </dxf>
    <dxf>
      <numFmt numFmtId="2" formatCode="0.00"/>
      <alignment horizontal="right" vertical="center" textRotation="0" wrapText="0" indent="0" justifyLastLine="0" shrinkToFit="0" readingOrder="0"/>
    </dxf>
    <dxf>
      <alignment horizontal="left" vertical="center" textRotation="0" wrapText="1" indent="2" justifyLastLine="0" shrinkToFit="0" readingOrder="0"/>
    </dxf>
    <dxf>
      <numFmt numFmtId="12" formatCode="#,##0.00\ &quot;€&quot;;[Red]\-#,##0.00\ &quot;€&quot;"/>
      <alignment horizontal="right" vertical="center" textRotation="0" wrapText="0" indent="2"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left" vertical="center" textRotation="0" wrapText="1" indent="2" justifyLastLine="0" shrinkToFit="0" readingOrder="0"/>
    </dxf>
    <dxf>
      <fill>
        <patternFill>
          <bgColor theme="5" tint="0.39994506668294322"/>
        </patternFill>
      </fill>
    </dxf>
    <dxf>
      <font>
        <b/>
        <i val="0"/>
        <color theme="0"/>
      </font>
      <fill>
        <patternFill>
          <bgColor theme="5" tint="-0.499984740745262"/>
        </patternFill>
      </fill>
    </dxf>
    <dxf>
      <border>
        <left/>
        <right/>
        <top/>
        <bottom style="thin">
          <color theme="3" tint="-0.499984740745262"/>
        </bottom>
        <vertical/>
        <horizontal/>
      </border>
    </dxf>
  </dxfs>
  <tableStyles count="1" defaultTableStyle="TableStyleMedium2" defaultPivotStyle="PivotStyleLight16">
    <tableStyle name="Estilo de tabla 1" pivot="0" count="3" xr9:uid="{98CBFB15-DEE7-6941-8736-31AE29E73073}">
      <tableStyleElement type="wholeTable" dxfId="58"/>
      <tableStyleElement type="headerRow" dxfId="57"/>
      <tableStyleElement type="totalRow" dxfId="5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ersiónInicial" displayName="InversiónInicial" ref="B10:C16" totalsRowCount="1" headerRowDxfId="42" dataDxfId="40" totalsRowDxfId="41">
  <autoFilter ref="B10:C15" xr:uid="{00000000-000C-0000-FFFF-FFFF00000000}">
    <filterColumn colId="0" hiddenButton="1"/>
    <filterColumn colId="1" hiddenButton="1"/>
  </autoFilter>
  <tableColumns count="2">
    <tableColumn id="1" xr3:uid="{00000000-0010-0000-0000-000001000000}" name="Inversión inicial en el sitio web" totalsRowLabel="Total de inversiones iniciales" dataDxfId="46" totalsRowDxfId="45"/>
    <tableColumn id="2" xr3:uid="{00000000-0010-0000-0000-000002000000}" name="Año" totalsRowFunction="sum" dataDxfId="44" totalsRowDxfId="43"/>
  </tableColumns>
  <tableStyleInfo name="Estilo de tabla 1" showFirstColumn="0" showLastColumn="0" showRowStripes="1" showColumnStripes="0"/>
  <extLst>
    <ext xmlns:x14="http://schemas.microsoft.com/office/spreadsheetml/2009/9/main" uri="{504A1905-F514-4f6f-8877-14C23A59335A}">
      <x14:table altTextSummary="Escriba los elementos de la inversión inicial en el sitio web y los importes anuales en esta tabla."/>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eneficios" displayName="Beneficios" ref="B18:E23" totalsRowCount="1" headerRowDxfId="31" dataDxfId="29" totalsRowDxfId="30">
  <autoFilter ref="B18:E22" xr:uid="{00000000-0009-0000-0100-000002000000}">
    <filterColumn colId="0" hiddenButton="1"/>
    <filterColumn colId="1" hiddenButton="1"/>
    <filterColumn colId="2" hiddenButton="1"/>
    <filterColumn colId="3" hiddenButton="1"/>
  </autoFilter>
  <tableColumns count="4">
    <tableColumn id="1" xr3:uid="{00000000-0010-0000-0100-000001000000}" name="Beneficios del sitio web" totalsRowLabel="Beneficios totales" dataDxfId="39" totalsRowDxfId="38"/>
    <tableColumn id="3" xr3:uid="{00000000-0010-0000-0100-000003000000}" name="Año 1" totalsRowFunction="sum" dataDxfId="37" totalsRowDxfId="36"/>
    <tableColumn id="4" xr3:uid="{00000000-0010-0000-0100-000004000000}" name="Año 2" totalsRowFunction="sum" dataDxfId="35" totalsRowDxfId="34"/>
    <tableColumn id="5" xr3:uid="{00000000-0010-0000-0100-000005000000}" name="Año 3" totalsRowFunction="sum" dataDxfId="33" totalsRowDxfId="32"/>
  </tableColumns>
  <tableStyleInfo name="Estilo de tabla 1" showFirstColumn="0" showLastColumn="0" showRowStripes="1" showColumnStripes="0"/>
  <extLst>
    <ext xmlns:x14="http://schemas.microsoft.com/office/spreadsheetml/2009/9/main" uri="{504A1905-F514-4f6f-8877-14C23A59335A}">
      <x14:table altTextSummary="Escriba los elementos de los beneficios del sitio web y los importes anuales en esta tabla."/>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stos" displayName="Costos" ref="B25:E30" totalsRowCount="1" headerRowDxfId="24" dataDxfId="22" totalsRowDxfId="23">
  <autoFilter ref="B25:E29" xr:uid="{00000000-0009-0000-0100-000003000000}">
    <filterColumn colId="0" hiddenButton="1"/>
    <filterColumn colId="1" hiddenButton="1"/>
    <filterColumn colId="2" hiddenButton="1"/>
    <filterColumn colId="3" hiddenButton="1"/>
  </autoFilter>
  <tableColumns count="4">
    <tableColumn id="1" xr3:uid="{00000000-0010-0000-0200-000001000000}" name="Costos Operativos" totalsRowLabel="Costes totales" dataDxfId="28" totalsRowDxfId="3"/>
    <tableColumn id="3" xr3:uid="{00000000-0010-0000-0200-000003000000}" name="AÑO 1" totalsRowFunction="sum" dataDxfId="27" totalsRowDxfId="2"/>
    <tableColumn id="4" xr3:uid="{00000000-0010-0000-0200-000004000000}" name="AÑO 2" totalsRowFunction="sum" dataDxfId="26" totalsRowDxfId="1"/>
    <tableColumn id="5" xr3:uid="{00000000-0010-0000-0200-000005000000}" name="AÑO 3" totalsRowFunction="sum" dataDxfId="25" totalsRowDxfId="0"/>
  </tableColumns>
  <tableStyleInfo name="Estilo de tabla 1" showFirstColumn="0" showLastColumn="0" showRowStripes="1" showColumnStripes="0"/>
  <extLst>
    <ext xmlns:x14="http://schemas.microsoft.com/office/spreadsheetml/2009/9/main" uri="{504A1905-F514-4f6f-8877-14C23A59335A}">
      <x14:table altTextSummary="Escriba los costos, excepto las inversiones de capital inicial, y los importes anuales en esta tabla."/>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otales" displayName="Totales" ref="B32:F38" headerRowDxfId="16" dataDxfId="14" totalsRowDxfId="15">
  <autoFilter ref="B32:F38" xr:uid="{00000000-0009-0000-0100-000004000000}">
    <filterColumn colId="0" hiddenButton="1"/>
    <filterColumn colId="1" hiddenButton="1"/>
    <filterColumn colId="2" hiddenButton="1"/>
    <filterColumn colId="3" hiddenButton="1"/>
    <filterColumn colId="4" hiddenButton="1"/>
  </autoFilter>
  <tableColumns count="5">
    <tableColumn id="1" xr3:uid="{00000000-0010-0000-0300-000001000000}" name="Totales" totalsRowLabel="Total" dataDxfId="21" totalsRowDxfId="55"/>
    <tableColumn id="2" xr3:uid="{00000000-0010-0000-0300-000002000000}" name=" " dataDxfId="20" totalsRowDxfId="54"/>
    <tableColumn id="3" xr3:uid="{00000000-0010-0000-0300-000003000000}" name="Año 1" dataDxfId="19" totalsRowDxfId="53"/>
    <tableColumn id="4" xr3:uid="{00000000-0010-0000-0300-000004000000}" name="Año 2" dataDxfId="18" totalsRowDxfId="52"/>
    <tableColumn id="5" xr3:uid="{00000000-0010-0000-0300-000005000000}" name="Año 3" totalsRowFunction="sum" dataDxfId="17" totalsRowDxfId="51"/>
  </tableColumns>
  <tableStyleInfo name="Estilo de tabla 1" showFirstColumn="0" showLastColumn="0" showRowStripes="1" showColumnStripes="0"/>
  <extLst>
    <ext xmlns:x14="http://schemas.microsoft.com/office/spreadsheetml/2009/9/main" uri="{504A1905-F514-4f6f-8877-14C23A59335A}">
      <x14:table altTextSummary="Escriba los elementos Totales en esta tabla. Los montos anuales se calculan automáticament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étricas" displayName="Métricas" ref="B40:C43" headerRowDxfId="11" dataDxfId="9" totalsRowDxfId="10">
  <autoFilter ref="B40:C43" xr:uid="{00000000-0009-0000-0100-000005000000}">
    <filterColumn colId="0" hiddenButton="1"/>
    <filterColumn colId="1" hiddenButton="1"/>
  </autoFilter>
  <tableColumns count="2">
    <tableColumn id="1" xr3:uid="{00000000-0010-0000-0400-000001000000}" name="Métricas de evaluación" totalsRowLabel="Total" dataDxfId="13" totalsRowDxfId="50"/>
    <tableColumn id="2" xr3:uid="{00000000-0010-0000-0400-000002000000}" name="Valores" totalsRowFunction="sum" dataDxfId="12" totalsRowDxfId="49"/>
  </tableColumns>
  <tableStyleInfo name="Estilo de tabla 1" showFirstColumn="0" showLastColumn="0" showRowStripes="1" showColumnStripes="0"/>
  <extLst>
    <ext xmlns:x14="http://schemas.microsoft.com/office/spreadsheetml/2009/9/main" uri="{504A1905-F514-4f6f-8877-14C23A59335A}">
      <x14:table altTextSummary="Los elementos de las métricas de evaluación y los importes se actualizan automáticamente en esta tabla."/>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B8A38FE-B7B1-4DBB-95BF-23DDFD246CD1}" name="Tasa" displayName="Tasa" ref="B6:C8" headerRowDxfId="6" dataDxfId="4" totalsRowDxfId="5">
  <autoFilter ref="B6:C8" xr:uid="{4A48B7AE-0418-4013-B926-B2BE0A0E551C}">
    <filterColumn colId="0" hiddenButton="1"/>
    <filterColumn colId="1" hiddenButton="1"/>
  </autoFilter>
  <tableColumns count="2">
    <tableColumn id="1" xr3:uid="{11FD8CE5-F029-46A8-8385-67BD6BB8C0F6}" name="Datos del Proyecto" totalsRowLabel="Total" dataDxfId="8" totalsRowDxfId="48"/>
    <tableColumn id="2" xr3:uid="{D234CEAA-BCAD-4F41-A5C2-1F7BCE4E636F}" name="Tasa" totalsRowFunction="sum" dataDxfId="7" totalsRowDxfId="47"/>
  </tableColumns>
  <tableStyleInfo name="Estilo de tabla 1" showFirstColumn="0" showLastColumn="0" showRowStripes="0" showColumnStripes="0"/>
  <extLst>
    <ext xmlns:x14="http://schemas.microsoft.com/office/spreadsheetml/2009/9/main" uri="{504A1905-F514-4f6f-8877-14C23A59335A}">
      <x14:table altTextSummary="Escriba los datos de la empresa y las tasas en esta tabla."/>
    </ext>
  </extLst>
</table>
</file>

<file path=xl/theme/theme1.xml><?xml version="1.0" encoding="utf-8"?>
<a:theme xmlns:a="http://schemas.openxmlformats.org/drawingml/2006/main" name="Mortgage refinancing">
  <a:themeElements>
    <a:clrScheme name="Custom 54">
      <a:dk1>
        <a:srgbClr val="000000"/>
      </a:dk1>
      <a:lt1>
        <a:srgbClr val="FFFFFF"/>
      </a:lt1>
      <a:dk2>
        <a:srgbClr val="4B9844"/>
      </a:dk2>
      <a:lt2>
        <a:srgbClr val="ECECEC"/>
      </a:lt2>
      <a:accent1>
        <a:srgbClr val="92CDCD"/>
      </a:accent1>
      <a:accent2>
        <a:srgbClr val="86B07D"/>
      </a:accent2>
      <a:accent3>
        <a:srgbClr val="EACF6E"/>
      </a:accent3>
      <a:accent4>
        <a:srgbClr val="DA7056"/>
      </a:accent4>
      <a:accent5>
        <a:srgbClr val="E28653"/>
      </a:accent5>
      <a:accent6>
        <a:srgbClr val="A57290"/>
      </a:accent6>
      <a:hlink>
        <a:srgbClr val="5D8853"/>
      </a:hlink>
      <a:folHlink>
        <a:srgbClr val="51AEAE"/>
      </a:folHlink>
    </a:clrScheme>
    <a:fontScheme name="Custom 47">
      <a:majorFont>
        <a:latin typeface="Tahoma"/>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pageSetUpPr autoPageBreaks="0" fitToPage="1"/>
  </sheetPr>
  <dimension ref="A2:H59"/>
  <sheetViews>
    <sheetView showGridLines="0" tabSelected="1" topLeftCell="A4" zoomScale="75" zoomScaleNormal="75" workbookViewId="0">
      <selection activeCell="H11" sqref="H11"/>
    </sheetView>
  </sheetViews>
  <sheetFormatPr baseColWidth="10" defaultColWidth="8.6640625" defaultRowHeight="14.4" x14ac:dyDescent="0.3"/>
  <cols>
    <col min="1" max="1" width="1.6640625" style="1" customWidth="1"/>
    <col min="2" max="2" width="87.6640625" customWidth="1"/>
    <col min="3" max="3" width="20" customWidth="1"/>
    <col min="4" max="6" width="14.6640625" customWidth="1"/>
    <col min="7" max="7" width="1.6640625" customWidth="1"/>
  </cols>
  <sheetData>
    <row r="2" spans="1:8" ht="79.95" customHeight="1" x14ac:dyDescent="1.1000000000000001">
      <c r="A2" s="3"/>
      <c r="B2" s="6" t="s">
        <v>24</v>
      </c>
      <c r="C2" s="2"/>
      <c r="D2" s="4"/>
      <c r="E2" s="4"/>
      <c r="F2" s="5"/>
    </row>
    <row r="3" spans="1:8" ht="40.200000000000003" customHeight="1" x14ac:dyDescent="0.3">
      <c r="A3" s="3"/>
      <c r="B3" s="42" t="s">
        <v>44</v>
      </c>
      <c r="C3" s="40"/>
      <c r="D3" s="40"/>
      <c r="E3" s="40"/>
      <c r="F3" s="41"/>
    </row>
    <row r="4" spans="1:8" ht="40.200000000000003" customHeight="1" x14ac:dyDescent="0.5">
      <c r="A4" s="3"/>
      <c r="B4" s="13">
        <v>46096</v>
      </c>
      <c r="C4" s="14"/>
      <c r="D4" s="14"/>
      <c r="E4" s="14"/>
      <c r="F4" s="15"/>
      <c r="G4" s="16"/>
      <c r="H4" s="16"/>
    </row>
    <row r="5" spans="1:8" ht="30" customHeight="1" x14ac:dyDescent="0.5">
      <c r="B5" s="16"/>
      <c r="C5" s="16"/>
      <c r="D5" s="16"/>
      <c r="E5" s="16"/>
      <c r="F5" s="16"/>
      <c r="G5" s="16"/>
      <c r="H5" s="16"/>
    </row>
    <row r="6" spans="1:8" ht="30" customHeight="1" x14ac:dyDescent="0.5">
      <c r="B6" s="7" t="s">
        <v>25</v>
      </c>
      <c r="C6" s="8" t="s">
        <v>0</v>
      </c>
      <c r="D6" s="17"/>
      <c r="E6" s="17"/>
      <c r="F6" s="17"/>
      <c r="G6" s="16"/>
      <c r="H6" s="16"/>
    </row>
    <row r="7" spans="1:8" ht="30" customHeight="1" x14ac:dyDescent="0.5">
      <c r="B7" s="18" t="s">
        <v>1</v>
      </c>
      <c r="C7" s="19">
        <v>0.1</v>
      </c>
      <c r="D7" s="17"/>
      <c r="E7" s="17"/>
      <c r="F7" s="17"/>
      <c r="G7" s="16"/>
      <c r="H7" s="16"/>
    </row>
    <row r="8" spans="1:8" ht="30" customHeight="1" x14ac:dyDescent="0.5">
      <c r="B8" s="18" t="s">
        <v>26</v>
      </c>
      <c r="C8" s="19">
        <v>0.13</v>
      </c>
      <c r="D8" s="17"/>
      <c r="E8" s="17"/>
      <c r="F8" s="17"/>
      <c r="G8" s="16"/>
      <c r="H8" s="16"/>
    </row>
    <row r="9" spans="1:8" ht="30" customHeight="1" x14ac:dyDescent="0.5">
      <c r="B9" s="16"/>
      <c r="C9" s="16"/>
      <c r="D9" s="17"/>
      <c r="E9" s="17"/>
      <c r="F9" s="17"/>
      <c r="G9" s="16"/>
      <c r="H9" s="16"/>
    </row>
    <row r="10" spans="1:8" ht="30" customHeight="1" x14ac:dyDescent="0.5">
      <c r="B10" s="20" t="s">
        <v>2</v>
      </c>
      <c r="C10" s="21" t="s">
        <v>3</v>
      </c>
      <c r="D10" s="17"/>
      <c r="E10" s="17"/>
      <c r="F10" s="17"/>
      <c r="G10" s="16"/>
      <c r="H10" s="16"/>
    </row>
    <row r="11" spans="1:8" ht="30" customHeight="1" x14ac:dyDescent="0.5">
      <c r="B11" s="22" t="s">
        <v>27</v>
      </c>
      <c r="C11" s="23">
        <v>50</v>
      </c>
      <c r="D11" s="17"/>
      <c r="E11" s="17"/>
      <c r="F11" s="17"/>
      <c r="G11" s="16"/>
      <c r="H11" s="16"/>
    </row>
    <row r="12" spans="1:8" ht="30" customHeight="1" x14ac:dyDescent="0.5">
      <c r="B12" s="22" t="s">
        <v>28</v>
      </c>
      <c r="C12" s="24">
        <v>120</v>
      </c>
      <c r="D12" s="17"/>
      <c r="E12" s="17"/>
      <c r="F12" s="17"/>
      <c r="G12" s="16"/>
      <c r="H12" s="16"/>
    </row>
    <row r="13" spans="1:8" ht="30" customHeight="1" x14ac:dyDescent="0.5">
      <c r="A13" s="1" t="s">
        <v>29</v>
      </c>
      <c r="B13" s="22" t="s">
        <v>29</v>
      </c>
      <c r="C13" s="23">
        <v>50</v>
      </c>
      <c r="D13" s="17"/>
      <c r="E13" s="17"/>
      <c r="F13" s="17"/>
      <c r="G13" s="16"/>
      <c r="H13" s="16"/>
    </row>
    <row r="14" spans="1:8" ht="30" customHeight="1" x14ac:dyDescent="0.5">
      <c r="B14" s="22" t="s">
        <v>30</v>
      </c>
      <c r="C14" s="23">
        <v>60</v>
      </c>
      <c r="D14" s="17"/>
      <c r="E14" s="17"/>
      <c r="F14" s="17"/>
      <c r="G14" s="16"/>
      <c r="H14" s="16"/>
    </row>
    <row r="15" spans="1:8" ht="30" customHeight="1" x14ac:dyDescent="0.5">
      <c r="B15" s="22" t="s">
        <v>31</v>
      </c>
      <c r="C15" s="23">
        <v>80</v>
      </c>
      <c r="D15" s="17"/>
      <c r="E15" s="17"/>
      <c r="F15" s="17"/>
      <c r="G15" s="16"/>
      <c r="H15" s="16"/>
    </row>
    <row r="16" spans="1:8" ht="30" customHeight="1" x14ac:dyDescent="0.5">
      <c r="B16" s="18" t="s">
        <v>4</v>
      </c>
      <c r="C16" s="23">
        <f>SUBTOTAL(109,InversiónInicial[Año])</f>
        <v>360</v>
      </c>
      <c r="D16" s="17"/>
      <c r="E16" s="17"/>
      <c r="F16" s="17"/>
      <c r="G16" s="16"/>
      <c r="H16" s="16"/>
    </row>
    <row r="17" spans="2:8" ht="30" customHeight="1" x14ac:dyDescent="0.5">
      <c r="B17" s="22"/>
      <c r="C17" s="25"/>
      <c r="D17" s="25"/>
      <c r="E17" s="25"/>
      <c r="F17" s="25"/>
      <c r="G17" s="16"/>
      <c r="H17" s="16"/>
    </row>
    <row r="18" spans="2:8" ht="30" customHeight="1" x14ac:dyDescent="0.5">
      <c r="B18" s="26" t="s">
        <v>5</v>
      </c>
      <c r="C18" s="27" t="s">
        <v>6</v>
      </c>
      <c r="D18" s="27" t="s">
        <v>7</v>
      </c>
      <c r="E18" s="28" t="s">
        <v>8</v>
      </c>
      <c r="F18" s="17"/>
      <c r="G18" s="16"/>
      <c r="H18" s="16"/>
    </row>
    <row r="19" spans="2:8" ht="30" customHeight="1" x14ac:dyDescent="0.5">
      <c r="B19" s="22" t="s">
        <v>32</v>
      </c>
      <c r="C19" s="29">
        <v>100</v>
      </c>
      <c r="D19" s="29">
        <v>120</v>
      </c>
      <c r="E19" s="23">
        <v>150</v>
      </c>
      <c r="F19" s="17"/>
      <c r="G19" s="16"/>
      <c r="H19" s="16"/>
    </row>
    <row r="20" spans="2:8" ht="30" customHeight="1" x14ac:dyDescent="0.5">
      <c r="B20" s="22" t="s">
        <v>33</v>
      </c>
      <c r="C20" s="29">
        <v>150</v>
      </c>
      <c r="D20" s="29">
        <v>180</v>
      </c>
      <c r="E20" s="23">
        <v>200</v>
      </c>
      <c r="F20" s="17"/>
      <c r="G20" s="16"/>
      <c r="H20" s="16"/>
    </row>
    <row r="21" spans="2:8" ht="30" customHeight="1" x14ac:dyDescent="0.5">
      <c r="B21" s="22" t="s">
        <v>34</v>
      </c>
      <c r="C21" s="29">
        <v>80</v>
      </c>
      <c r="D21" s="29">
        <v>100</v>
      </c>
      <c r="E21" s="23">
        <v>120</v>
      </c>
      <c r="F21" s="17"/>
      <c r="G21" s="16"/>
      <c r="H21" s="16"/>
    </row>
    <row r="22" spans="2:8" ht="30" customHeight="1" x14ac:dyDescent="0.5">
      <c r="B22" s="22" t="s">
        <v>35</v>
      </c>
      <c r="C22" s="29">
        <v>60</v>
      </c>
      <c r="D22" s="29">
        <v>70</v>
      </c>
      <c r="E22" s="23">
        <v>80</v>
      </c>
      <c r="F22" s="17"/>
      <c r="G22" s="16"/>
      <c r="H22" s="16"/>
    </row>
    <row r="23" spans="2:8" ht="30" customHeight="1" x14ac:dyDescent="0.5">
      <c r="B23" s="18" t="s">
        <v>9</v>
      </c>
      <c r="C23" s="29">
        <f>SUBTOTAL(109,Beneficios[Año 1])</f>
        <v>390</v>
      </c>
      <c r="D23" s="29">
        <f>SUBTOTAL(109,Beneficios[Año 2])</f>
        <v>470</v>
      </c>
      <c r="E23" s="23">
        <f>SUBTOTAL(109,Beneficios[Año 3])</f>
        <v>550</v>
      </c>
      <c r="F23" s="17"/>
      <c r="G23" s="16"/>
      <c r="H23" s="16"/>
    </row>
    <row r="24" spans="2:8" ht="30" customHeight="1" x14ac:dyDescent="0.5">
      <c r="B24" s="18"/>
      <c r="C24" s="30"/>
      <c r="D24" s="30"/>
      <c r="E24" s="31"/>
      <c r="F24" s="30"/>
      <c r="G24" s="16"/>
      <c r="H24" s="16"/>
    </row>
    <row r="25" spans="2:8" ht="30" customHeight="1" x14ac:dyDescent="0.5">
      <c r="B25" s="26" t="s">
        <v>38</v>
      </c>
      <c r="C25" s="27" t="s">
        <v>10</v>
      </c>
      <c r="D25" s="27" t="s">
        <v>11</v>
      </c>
      <c r="E25" s="28" t="s">
        <v>12</v>
      </c>
      <c r="F25" s="17"/>
      <c r="G25" s="16"/>
      <c r="H25" s="16"/>
    </row>
    <row r="26" spans="2:8" ht="30" customHeight="1" x14ac:dyDescent="0.5">
      <c r="B26" s="22" t="s">
        <v>36</v>
      </c>
      <c r="C26" s="29">
        <v>30</v>
      </c>
      <c r="D26" s="29">
        <v>30</v>
      </c>
      <c r="E26" s="23">
        <v>30</v>
      </c>
      <c r="F26" s="29"/>
      <c r="G26" s="16"/>
      <c r="H26" s="16"/>
    </row>
    <row r="27" spans="2:8" ht="30" customHeight="1" x14ac:dyDescent="0.5">
      <c r="B27" s="22" t="s">
        <v>37</v>
      </c>
      <c r="C27" s="29">
        <v>40</v>
      </c>
      <c r="D27" s="29">
        <v>50</v>
      </c>
      <c r="E27" s="23">
        <v>60</v>
      </c>
      <c r="F27" s="29"/>
      <c r="G27" s="16"/>
      <c r="H27" s="16"/>
    </row>
    <row r="28" spans="2:8" ht="30" customHeight="1" x14ac:dyDescent="0.5">
      <c r="B28" s="22" t="s">
        <v>39</v>
      </c>
      <c r="C28" s="29">
        <v>20</v>
      </c>
      <c r="D28" s="29">
        <v>30</v>
      </c>
      <c r="E28" s="23">
        <v>40</v>
      </c>
      <c r="F28" s="29"/>
      <c r="G28" s="16"/>
      <c r="H28" s="16"/>
    </row>
    <row r="29" spans="2:8" ht="30" customHeight="1" x14ac:dyDescent="0.5">
      <c r="B29" s="22" t="s">
        <v>40</v>
      </c>
      <c r="C29" s="32">
        <f>InversiónInicial[[#Totals],[Año]]/3</f>
        <v>120</v>
      </c>
      <c r="D29" s="32">
        <f>InversiónInicial[[#Totals],[Año]]/3</f>
        <v>120</v>
      </c>
      <c r="E29" s="33">
        <f>InversiónInicial[[#Totals],[Año]]/3</f>
        <v>120</v>
      </c>
      <c r="F29" s="29"/>
      <c r="G29" s="16"/>
      <c r="H29" s="16"/>
    </row>
    <row r="30" spans="2:8" ht="30" customHeight="1" x14ac:dyDescent="0.5">
      <c r="B30" s="18" t="s">
        <v>13</v>
      </c>
      <c r="C30" s="29">
        <f>SUBTOTAL(109,Costos[AÑO 1])</f>
        <v>210</v>
      </c>
      <c r="D30" s="29">
        <f>SUBTOTAL(109,Costos[AÑO 2])</f>
        <v>230</v>
      </c>
      <c r="E30" s="23">
        <f>SUBTOTAL(109,Costos[AÑO 3])</f>
        <v>250</v>
      </c>
      <c r="F30" s="29"/>
      <c r="G30" s="16"/>
      <c r="H30" s="16"/>
    </row>
    <row r="31" spans="2:8" ht="30" customHeight="1" x14ac:dyDescent="0.5">
      <c r="B31" s="22"/>
      <c r="C31" s="25"/>
      <c r="D31" s="25"/>
      <c r="E31" s="25"/>
      <c r="F31" s="25"/>
      <c r="G31" s="16"/>
      <c r="H31" s="16"/>
    </row>
    <row r="32" spans="2:8" ht="30" customHeight="1" x14ac:dyDescent="0.5">
      <c r="B32" s="9" t="s">
        <v>14</v>
      </c>
      <c r="C32" s="10" t="s">
        <v>15</v>
      </c>
      <c r="D32" s="11" t="s">
        <v>6</v>
      </c>
      <c r="E32" s="11" t="s">
        <v>7</v>
      </c>
      <c r="F32" s="12" t="s">
        <v>8</v>
      </c>
      <c r="G32" s="16"/>
      <c r="H32" s="16"/>
    </row>
    <row r="33" spans="2:8" ht="30" customHeight="1" x14ac:dyDescent="0.5">
      <c r="B33" s="34" t="s">
        <v>41</v>
      </c>
      <c r="C33" s="29"/>
      <c r="D33" s="29">
        <f>Beneficios[[#Totals],[Año 1]]-Costos[[#Totals],[AÑO 1]]</f>
        <v>180</v>
      </c>
      <c r="E33" s="29">
        <f>Beneficios[[#Totals],[Año 2]]-Costos[[#Totals],[AÑO 2]]</f>
        <v>240</v>
      </c>
      <c r="F33" s="23">
        <f>Beneficios[[#Totals],[Año 3]]-Costos[[#Totals],[AÑO 3]]</f>
        <v>300</v>
      </c>
      <c r="G33" s="16"/>
      <c r="H33" s="16"/>
    </row>
    <row r="34" spans="2:8" ht="30" customHeight="1" x14ac:dyDescent="0.5">
      <c r="B34" s="34" t="s">
        <v>42</v>
      </c>
      <c r="C34" s="29"/>
      <c r="D34" s="29">
        <f>D33*TasaDeImpuestos</f>
        <v>23.400000000000002</v>
      </c>
      <c r="E34" s="29">
        <f>E33*TasaDeImpuestos</f>
        <v>31.200000000000003</v>
      </c>
      <c r="F34" s="23">
        <f>F33*TasaDeImpuestos</f>
        <v>39</v>
      </c>
      <c r="G34" s="16"/>
      <c r="H34" s="16"/>
    </row>
    <row r="35" spans="2:8" ht="30" customHeight="1" x14ac:dyDescent="0.5">
      <c r="B35" s="34" t="s">
        <v>43</v>
      </c>
      <c r="C35" s="29"/>
      <c r="D35" s="29">
        <f t="shared" ref="D35:F35" si="0">D33-D34</f>
        <v>156.6</v>
      </c>
      <c r="E35" s="29">
        <f t="shared" si="0"/>
        <v>208.8</v>
      </c>
      <c r="F35" s="23">
        <f t="shared" si="0"/>
        <v>261</v>
      </c>
      <c r="G35" s="16"/>
      <c r="H35" s="16"/>
    </row>
    <row r="36" spans="2:8" ht="30" customHeight="1" x14ac:dyDescent="0.5">
      <c r="B36" s="34" t="s">
        <v>16</v>
      </c>
      <c r="C36" s="29"/>
      <c r="D36" s="29">
        <f>C29</f>
        <v>120</v>
      </c>
      <c r="E36" s="29">
        <f>D29</f>
        <v>120</v>
      </c>
      <c r="F36" s="23">
        <f>E29</f>
        <v>120</v>
      </c>
      <c r="G36" s="16"/>
      <c r="H36" s="16"/>
    </row>
    <row r="37" spans="2:8" ht="30" customHeight="1" x14ac:dyDescent="0.5">
      <c r="B37" s="34" t="s">
        <v>17</v>
      </c>
      <c r="C37" s="29">
        <f>-InversiónInicial[[#Totals],[Año]]</f>
        <v>-360</v>
      </c>
      <c r="D37" s="29">
        <f>D35+D36</f>
        <v>276.60000000000002</v>
      </c>
      <c r="E37" s="29">
        <f>E35+E36</f>
        <v>328.8</v>
      </c>
      <c r="F37" s="23">
        <f>F35+F36</f>
        <v>381</v>
      </c>
      <c r="G37" s="16"/>
      <c r="H37" s="16"/>
    </row>
    <row r="38" spans="2:8" ht="30" customHeight="1" x14ac:dyDescent="0.5">
      <c r="B38" s="34" t="s">
        <v>18</v>
      </c>
      <c r="C38" s="29">
        <f>C37</f>
        <v>-360</v>
      </c>
      <c r="D38" s="29">
        <f>C38+D37</f>
        <v>-83.399999999999977</v>
      </c>
      <c r="E38" s="29">
        <f>D38+E37</f>
        <v>245.40000000000003</v>
      </c>
      <c r="F38" s="23">
        <f>E38+F37</f>
        <v>626.40000000000009</v>
      </c>
      <c r="G38" s="16"/>
      <c r="H38" s="16"/>
    </row>
    <row r="39" spans="2:8" ht="30" customHeight="1" x14ac:dyDescent="0.5">
      <c r="B39" s="22"/>
      <c r="C39" s="25"/>
      <c r="D39" s="25"/>
      <c r="E39" s="25"/>
      <c r="F39" s="25"/>
      <c r="G39" s="16"/>
      <c r="H39" s="16"/>
    </row>
    <row r="40" spans="2:8" ht="30" customHeight="1" x14ac:dyDescent="0.5">
      <c r="B40" s="9" t="s">
        <v>19</v>
      </c>
      <c r="C40" s="35" t="s">
        <v>20</v>
      </c>
      <c r="D40" s="17"/>
      <c r="E40" s="17"/>
      <c r="F40" s="17"/>
      <c r="G40" s="16"/>
      <c r="H40" s="16"/>
    </row>
    <row r="41" spans="2:8" ht="30" customHeight="1" x14ac:dyDescent="0.5">
      <c r="B41" s="22" t="s">
        <v>21</v>
      </c>
      <c r="C41" s="36">
        <f>C37+(NPV(TasaRetornoNecesaria,D37:F37))</f>
        <v>449.44102178812909</v>
      </c>
      <c r="D41" s="17"/>
      <c r="E41" s="17"/>
      <c r="F41" s="17"/>
      <c r="G41" s="16"/>
      <c r="H41" s="16"/>
    </row>
    <row r="42" spans="2:8" ht="30" customHeight="1" x14ac:dyDescent="0.5">
      <c r="B42" s="22" t="s">
        <v>22</v>
      </c>
      <c r="C42" s="37">
        <f>IRR(C37:F37)</f>
        <v>0.68393764877566565</v>
      </c>
      <c r="D42" s="17"/>
      <c r="E42" s="17"/>
      <c r="F42" s="17"/>
      <c r="G42" s="16"/>
      <c r="H42" s="16"/>
    </row>
    <row r="43" spans="2:8" ht="30" customHeight="1" x14ac:dyDescent="0.5">
      <c r="B43" s="22" t="s">
        <v>23</v>
      </c>
      <c r="C43" s="38">
        <f>IF(F38&lt;=0,"Exceeds 3 years",IF(E38&lt;=0,(F37-F38)/F37+2,IF(D38&lt;=0,(E37-E38)/E37+1,IF(C38&lt;=0,(D37-D38)/D37,"NA"))))</f>
        <v>1.2536496350364963</v>
      </c>
      <c r="D43" s="17"/>
      <c r="E43" s="17"/>
      <c r="F43" s="17"/>
      <c r="G43" s="16"/>
      <c r="H43" s="16"/>
    </row>
    <row r="44" spans="2:8" ht="18" x14ac:dyDescent="0.5">
      <c r="B44" s="39"/>
      <c r="C44" s="39"/>
      <c r="D44" s="16"/>
      <c r="E44" s="16"/>
      <c r="F44" s="16"/>
      <c r="G44" s="16"/>
      <c r="H44" s="16"/>
    </row>
    <row r="45" spans="2:8" ht="18" x14ac:dyDescent="0.5">
      <c r="B45" s="16"/>
      <c r="C45" s="16"/>
      <c r="D45" s="16"/>
      <c r="E45" s="16"/>
      <c r="F45" s="16"/>
      <c r="G45" s="16"/>
      <c r="H45" s="16"/>
    </row>
    <row r="46" spans="2:8" ht="18" x14ac:dyDescent="0.5">
      <c r="B46" s="16"/>
      <c r="C46" s="16"/>
      <c r="D46" s="16"/>
      <c r="E46" s="16"/>
      <c r="F46" s="16"/>
      <c r="G46" s="16"/>
      <c r="H46" s="16"/>
    </row>
    <row r="47" spans="2:8" ht="18" x14ac:dyDescent="0.5">
      <c r="B47" s="16"/>
      <c r="C47" s="16"/>
      <c r="D47" s="16"/>
      <c r="E47" s="16"/>
      <c r="F47" s="16"/>
      <c r="G47" s="16"/>
      <c r="H47" s="16"/>
    </row>
    <row r="48" spans="2:8" ht="18" x14ac:dyDescent="0.5">
      <c r="B48" s="16"/>
      <c r="C48" s="16"/>
      <c r="D48" s="16"/>
      <c r="E48" s="16"/>
      <c r="F48" s="16"/>
      <c r="G48" s="16"/>
      <c r="H48" s="16"/>
    </row>
    <row r="49" spans="2:8" ht="18" x14ac:dyDescent="0.5">
      <c r="B49" s="16"/>
      <c r="C49" s="16"/>
      <c r="D49" s="16"/>
      <c r="E49" s="16"/>
      <c r="F49" s="16"/>
      <c r="G49" s="16"/>
      <c r="H49" s="16"/>
    </row>
    <row r="50" spans="2:8" ht="18" x14ac:dyDescent="0.5">
      <c r="B50" s="16"/>
      <c r="C50" s="16"/>
      <c r="D50" s="16"/>
      <c r="E50" s="16"/>
      <c r="F50" s="16"/>
      <c r="G50" s="16"/>
      <c r="H50" s="16"/>
    </row>
    <row r="51" spans="2:8" ht="18" x14ac:dyDescent="0.5">
      <c r="B51" s="16"/>
      <c r="C51" s="16"/>
      <c r="D51" s="16"/>
      <c r="E51" s="16"/>
      <c r="F51" s="16"/>
      <c r="G51" s="16"/>
      <c r="H51" s="16"/>
    </row>
    <row r="52" spans="2:8" ht="18" x14ac:dyDescent="0.5">
      <c r="B52" s="16"/>
      <c r="C52" s="16"/>
      <c r="D52" s="16"/>
      <c r="E52" s="16"/>
      <c r="F52" s="16"/>
      <c r="G52" s="16"/>
      <c r="H52" s="16"/>
    </row>
    <row r="53" spans="2:8" ht="18" x14ac:dyDescent="0.5">
      <c r="B53" s="16"/>
      <c r="C53" s="16"/>
      <c r="D53" s="16"/>
      <c r="E53" s="16"/>
      <c r="F53" s="16"/>
      <c r="G53" s="16"/>
      <c r="H53" s="16"/>
    </row>
    <row r="54" spans="2:8" ht="18" x14ac:dyDescent="0.5">
      <c r="B54" s="16"/>
      <c r="C54" s="16"/>
      <c r="D54" s="16"/>
      <c r="E54" s="16"/>
      <c r="F54" s="16"/>
      <c r="G54" s="16"/>
      <c r="H54" s="16"/>
    </row>
    <row r="55" spans="2:8" ht="18" x14ac:dyDescent="0.5">
      <c r="B55" s="16"/>
      <c r="C55" s="16"/>
      <c r="D55" s="16"/>
      <c r="E55" s="16"/>
      <c r="F55" s="16"/>
      <c r="G55" s="16"/>
      <c r="H55" s="16"/>
    </row>
    <row r="56" spans="2:8" ht="18" x14ac:dyDescent="0.5">
      <c r="B56" s="16"/>
      <c r="C56" s="16"/>
      <c r="D56" s="16"/>
      <c r="E56" s="16"/>
      <c r="F56" s="16"/>
      <c r="G56" s="16"/>
      <c r="H56" s="16"/>
    </row>
    <row r="57" spans="2:8" ht="18" x14ac:dyDescent="0.5">
      <c r="B57" s="16"/>
      <c r="C57" s="16"/>
      <c r="D57" s="16"/>
      <c r="E57" s="16"/>
      <c r="F57" s="16"/>
      <c r="G57" s="16"/>
      <c r="H57" s="16"/>
    </row>
    <row r="58" spans="2:8" ht="18" x14ac:dyDescent="0.5">
      <c r="B58" s="16"/>
      <c r="C58" s="16"/>
      <c r="D58" s="16"/>
      <c r="E58" s="16"/>
      <c r="F58" s="16"/>
      <c r="G58" s="16"/>
      <c r="H58" s="16"/>
    </row>
    <row r="59" spans="2:8" ht="18" x14ac:dyDescent="0.5">
      <c r="B59" s="16"/>
      <c r="C59" s="16"/>
      <c r="D59" s="16"/>
      <c r="E59" s="16"/>
      <c r="F59" s="16"/>
      <c r="G59" s="16"/>
      <c r="H59" s="16"/>
    </row>
  </sheetData>
  <phoneticPr fontId="7" type="noConversion"/>
  <dataValidations count="7">
    <dataValidation allowBlank="1" showInputMessage="1" showErrorMessage="1" prompt="Cree un presupuesto de sitio web en esta hoja de cálculo. Encontrará instrucciones útiles sobre cómo usar este libro en las celdas de esta columna. Use la flecha hacia abajo para empezar." sqref="A1" xr:uid="{26070A88-671A-4DE1-BFFE-6983F17125BC}"/>
    <dataValidation allowBlank="1" showInputMessage="1" showErrorMessage="1" prompt="Escriba los detalles en la tabla Tarifas que comienza en la celda de la derecha. La siguiente instrucción está en la celda A10." sqref="A6" xr:uid="{3C968F2B-859C-4EDF-A044-30417D019011}"/>
    <dataValidation allowBlank="1" showInputMessage="1" showErrorMessage="1" prompt="Escriba los detalles en la tabla Inversión que comienza en la celda de la derecha. La siguiente instrucción está en la celda A16." sqref="A10" xr:uid="{1DD41C7D-5D43-42CA-AA71-75DCC5839777}"/>
    <dataValidation allowBlank="1" showInputMessage="1" showErrorMessage="1" prompt="Escriba los detalles en la tabla Beneficios que comienza en la celda de la derecha. La siguiente instrucción está en la celda A24." sqref="A18" xr:uid="{6C542594-E020-4FA1-82D1-63FD12774AC4}"/>
    <dataValidation allowBlank="1" showInputMessage="1" showErrorMessage="1" prompt="Escriba los detalles en la tabla Costes a partir de la celda de la derecha. Los valores se calculan automáticamente en celdas que contienen fórmulas. La siguiente instrucción está en la celda A32." sqref="A25" xr:uid="{6916CC61-03A0-4863-90DA-8446429BC3F0}"/>
    <dataValidation allowBlank="1" showInputMessage="1" showErrorMessage="1" prompt="Los valores se calculan automáticamente en la tabla Totales que comienza en la celda de la derecha. La siguiente instrucción está en la celda A40." sqref="A32" xr:uid="{9DD6D791-0C68-4FF6-971E-A2204DC9D069}"/>
    <dataValidation allowBlank="1" showInputMessage="1" showErrorMessage="1" prompt="Las métricas de evaluación se calculan automáticamente en la tabla Métricas que comienza en la celda de la derecha." sqref="A40" xr:uid="{6D1AFC92-32E9-4EC3-A6FC-EF81567F0825}"/>
  </dataValidations>
  <pageMargins left="0.4" right="0.4" top="0.4" bottom="0.6" header="0.3" footer="0.3"/>
  <pageSetup paperSize="9" scale="61" fitToHeight="0" orientation="portrait" r:id="rId1"/>
  <rowBreaks count="1" manualBreakCount="1">
    <brk id="32" max="16383" man="1"/>
  </rowBreaks>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D14BF6-A4BB-41AA-8791-37F22C17F9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94150B-EAEB-4F58-836F-FF600CAF90C9}">
  <ds:schemaRefs>
    <ds:schemaRef ds:uri="http://schemas.openxmlformats.org/package/2006/metadata/core-properties"/>
    <ds:schemaRef ds:uri="http://purl.org/dc/elements/1.1/"/>
    <ds:schemaRef ds:uri="71af3243-3dd4-4a8d-8c0d-dd76da1f02a5"/>
    <ds:schemaRef ds:uri="http://www.w3.org/XML/1998/namespace"/>
    <ds:schemaRef ds:uri="http://purl.org/dc/dcmitype/"/>
    <ds:schemaRef ds:uri="http://schemas.microsoft.com/office/2006/metadata/properties"/>
    <ds:schemaRef ds:uri="http://schemas.microsoft.com/sharepoint/v3"/>
    <ds:schemaRef ds:uri="http://schemas.microsoft.com/office/2006/documentManagement/types"/>
    <ds:schemaRef ds:uri="http://purl.org/dc/terms/"/>
    <ds:schemaRef ds:uri="http://schemas.microsoft.com/office/infopath/2007/PartnerControls"/>
    <ds:schemaRef ds:uri="230e9df3-be65-4c73-a93b-d1236ebd677e"/>
    <ds:schemaRef ds:uri="16c05727-aa75-4e4a-9b5f-8a80a1165891"/>
  </ds:schemaRefs>
</ds:datastoreItem>
</file>

<file path=customXml/itemProps3.xml><?xml version="1.0" encoding="utf-8"?>
<ds:datastoreItem xmlns:ds="http://schemas.openxmlformats.org/officeDocument/2006/customXml" ds:itemID="{6F772CAC-AF66-42F3-A69F-0067F741054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TM04035480</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PRESUPUESTO - PROYECTO</vt:lpstr>
      <vt:lpstr>TasaDeImpuestos</vt:lpstr>
      <vt:lpstr>TasaRetornoNecesaria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2022-11-10T17:23:27Z</dcterms:created>
  <dcterms:modified xsi:type="dcterms:W3CDTF">2026-03-14T04:35:33Z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